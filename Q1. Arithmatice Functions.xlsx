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\Excel Assignment\"/>
    </mc:Choice>
  </mc:AlternateContent>
  <xr:revisionPtr revIDLastSave="0" documentId="13_ncr:1_{3F4B47F3-176A-49F4-91EA-E2E088C31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O21" i="1" l="1"/>
  <c r="O12" i="1"/>
  <c r="O11" i="1"/>
  <c r="O10" i="1"/>
  <c r="O7" i="1"/>
  <c r="O6" i="1"/>
  <c r="O5" i="1"/>
  <c r="O4" i="1"/>
  <c r="O3" i="1"/>
  <c r="N21" i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<sst xmlns="http://schemas.openxmlformats.org/spreadsheetml/2006/main" count="252" uniqueCount="109">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</sst>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2" fontId="4" fillId="0" borderId="3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workbookViewId="0">
      <selection activeCell="O21" sqref="O21"/>
    </sheetView>
  </sheetViews>
  <sheetFormatPr defaultColWidth="14.44140625" defaultRowHeight="15" customHeight="1" x14ac:dyDescent="0.3"/>
  <cols>
    <col min="1" max="1" width="8.6640625" customWidth="1"/>
    <col min="2" max="2" width="7.44140625" bestFit="1" customWidth="1"/>
    <col min="3" max="4" width="13.21875" bestFit="1" customWidth="1"/>
    <col min="5" max="5" width="9.88671875" bestFit="1" customWidth="1"/>
    <col min="6" max="6" width="7.109375" bestFit="1" customWidth="1"/>
    <col min="7" max="7" width="9" bestFit="1" customWidth="1"/>
    <col min="8" max="8" width="21.33203125" bestFit="1" customWidth="1"/>
    <col min="9" max="9" width="8.77734375" bestFit="1" customWidth="1"/>
    <col min="10" max="10" width="10.77734375" bestFit="1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5" ht="14.25" customHeight="1" x14ac:dyDescent="0.3"/>
    <row r="2" spans="2:15" ht="14.25" customHeight="1" x14ac:dyDescent="0.3">
      <c r="M2" s="10" t="s">
        <v>0</v>
      </c>
      <c r="N2" s="11"/>
    </row>
    <row r="3" spans="2:15" ht="14.25" customHeight="1" x14ac:dyDescent="0.3">
      <c r="M3" s="1" t="s">
        <v>1</v>
      </c>
      <c r="N3" s="2">
        <f>SUM(J6:J43)</f>
        <v>2191000</v>
      </c>
      <c r="O3">
        <f>SUM(J6:J43)</f>
        <v>2191000</v>
      </c>
    </row>
    <row r="4" spans="2:15" ht="14.25" customHeight="1" x14ac:dyDescent="0.3">
      <c r="M4" s="1" t="s">
        <v>2</v>
      </c>
      <c r="N4" s="9">
        <f>AVERAGE(J6:J43)</f>
        <v>57657.894736842107</v>
      </c>
      <c r="O4">
        <f>AVERAGE(J6:J43)</f>
        <v>57657.894736842107</v>
      </c>
    </row>
    <row r="5" spans="2:15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COUNTA(C6:C43)</f>
        <v>38</v>
      </c>
      <c r="O5">
        <f>COUNT(B6:B43)</f>
        <v>38</v>
      </c>
    </row>
    <row r="6" spans="2:15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  <c r="O6">
        <f>MAX(J6:J43)</f>
        <v>92000</v>
      </c>
    </row>
    <row r="7" spans="2:15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  <c r="O7">
        <f>MIN(J6:J43)</f>
        <v>15000</v>
      </c>
    </row>
    <row r="8" spans="2:15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5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10" t="s">
        <v>32</v>
      </c>
      <c r="N9" s="11"/>
    </row>
    <row r="10" spans="2:15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COUNTIF(I6:I43,I10)</f>
        <v>10</v>
      </c>
      <c r="O10">
        <f>COUNTIF(I6:I43,I6)</f>
        <v>10</v>
      </c>
    </row>
    <row r="11" spans="2:15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AVERAGEIFS($J$6:$J$43,$H$6:$H$43,"Sales",$I$6:$I$43,"North")</f>
        <v>52000</v>
      </c>
      <c r="O11">
        <f>AVERAGEIFS(J6:J43,H6:H43,H37,I6:I43,I6)</f>
        <v>52000</v>
      </c>
    </row>
    <row r="12" spans="2:15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_xlfn.MAXIFS($J$6:$J$43,$H$6:$H$43,H13)</f>
        <v>92000</v>
      </c>
      <c r="O12">
        <f>_xlfn.MAXIFS(J6:J43,H6:H43,H20)</f>
        <v>92000</v>
      </c>
    </row>
    <row r="13" spans="2:15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5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5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5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5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5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5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10" t="s">
        <v>108</v>
      </c>
      <c r="N19" s="11"/>
    </row>
    <row r="20" spans="2:15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5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SUMIFS($J$6:$J$43,$H$6:$H$43,H23,$I$6:$I$43,I15)</f>
        <v>48000</v>
      </c>
      <c r="O21">
        <f>SUMIFS(J6:J43,H6:H43,H6,I6:I43,I33)</f>
        <v>48000</v>
      </c>
    </row>
    <row r="22" spans="2:15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5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5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5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5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5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5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5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5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5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5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Dayana Acharya</cp:lastModifiedBy>
  <dcterms:created xsi:type="dcterms:W3CDTF">2022-07-27T05:54:27Z</dcterms:created>
  <dcterms:modified xsi:type="dcterms:W3CDTF">2026-08-23T06:39:30Z</dcterms:modified>
</cp:coreProperties>
</file>